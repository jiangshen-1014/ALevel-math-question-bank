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CIE P3 录入" sheetId="1" r:id="rId1"/>
    <sheet name="Chapters" sheetId="2" state="hidden" r:id="rId2"/>
    <sheet name="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28817D765BCD4AB7925F07D6B7406B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29425" y="1485900"/>
          <a:ext cx="5232400" cy="342265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录入说明</author>
  </authors>
  <commentList>
    <comment ref="B1" authorId="0">
      <text>
        <r>
          <rPr>
            <sz val="10"/>
            <rFont val="宋体"/>
            <charset val="134"/>
          </rPr>
          <t>CIE 真题来源格式：YY_SERIES_VARIANT[_Q]
例：21_MJ_31   → 2021 May/June · Paper 31
    21_MJ_31_2 → 2021 May/June · Paper 31 Q2
SERIES：MJ=May/June，FM=Feb/Mar，ON=Oct/Nov
VARIANT(P3)：31 / 32 / 33
不要写 9709/31/MJ/21 这种含 syllabus 的纸面写法（系统不识别）</t>
        </r>
      </text>
    </comment>
    <comment ref="C1" authorId="0">
      <text>
        <r>
          <rPr>
            <sz val="10"/>
            <rFont val="宋体"/>
            <charset val="134"/>
          </rPr>
          <t>题干直接填 LaTeX（推荐）。
若为截图题，请把图片单独发我，或按 Excel 嵌入图(=DISPIMG)放入，由我转 LaTeX 录入。
保持真题英文原版，不翻译、不改写。</t>
        </r>
      </text>
    </comment>
    <comment ref="D1" authorId="0">
      <text>
        <r>
          <rPr>
            <sz val="10"/>
            <rFont val="宋体"/>
            <charset val="134"/>
          </rPr>
          <t>若有独立配图(坐标图/力学图/Argand图等)，填图片文件名(如 Q1_fig.png)或留空；题干截图不入此列。</t>
        </r>
      </text>
    </comment>
    <comment ref="E1" authorId="0">
      <text>
        <r>
          <rPr>
            <sz val="10"/>
            <rFont val="宋体"/>
            <charset val="134"/>
          </rPr>
          <t>从下拉选择，不要手打。CIE P3 共 10 章（见隐藏的 Chapters 表）。</t>
        </r>
      </text>
    </comment>
    <comment ref="G1" authorId="0">
      <text>
        <r>
          <rPr>
            <sz val="10"/>
            <rFont val="宋体"/>
            <charset val="134"/>
          </rPr>
          <t>数字 1-5：3=中，4=难，5=最难</t>
        </r>
      </text>
    </comment>
  </commentList>
</comments>
</file>

<file path=xl/sharedStrings.xml><?xml version="1.0" encoding="utf-8"?>
<sst xmlns="http://schemas.openxmlformats.org/spreadsheetml/2006/main" count="109" uniqueCount="68">
  <si>
    <t>考试局/科目</t>
  </si>
  <si>
    <t>来源</t>
  </si>
  <si>
    <t>题干</t>
  </si>
  <si>
    <t>配图</t>
  </si>
  <si>
    <t>章节</t>
  </si>
  <si>
    <t>考点</t>
  </si>
  <si>
    <t>难度</t>
  </si>
  <si>
    <t>分值</t>
  </si>
  <si>
    <t>解析</t>
  </si>
  <si>
    <t>CIE/P3</t>
  </si>
  <si>
    <t>25_MJ_35_1</t>
  </si>
  <si>
    <t>Solve the equation $3^{4-2x} = 5(6^{x-1})$. Give your answer correct to 3 significant figures. \hfill (4)</t>
  </si>
  <si>
    <t/>
  </si>
  <si>
    <t>Logarithmic and exponential functions</t>
  </si>
  <si>
    <t>指数方程, 对数</t>
  </si>
  <si>
    <t>25_MJ_35_2</t>
  </si>
  <si>
    <t>Solve the equation $3\cot\theta - 4\csc^{2}\theta + 5 = 0$ for $-\pi \leq \theta \leq \pi$. \hfill (5)</t>
  </si>
  <si>
    <t>Trigonometry</t>
  </si>
  <si>
    <t>三角方程, cot/csc 恒等式</t>
  </si>
  <si>
    <t>25_MJ_35_3</t>
  </si>
  <si>
    <t>The complex numbers $s$ and $t$ are given by$$s = 5(\cos 0.25 + i\sin 0.25) \qquad \text{and} \qquad t = 6e^{3i}.$$**(a)** Express $\dfrac{s}{t}$ in the form $re^{i\theta}$, where $-\pi &lt; \theta \leq \pi$ and $r &gt; 0$. \hfill (4)**(b)** In an Argand diagram with origin O, the points A and B represent the complex numbers $s$ and $\dfrac{s}{t}$ respectively. By considering the line segments OA and OB, or otherwise, state the two geometric effects of dividing a complex number by $6e^{3i}$. \hfill (2)</t>
  </si>
  <si>
    <t>Complex numbers</t>
  </si>
  <si>
    <t>复数极坐标, 阿甘图几何意义</t>
  </si>
  <si>
    <t>25_MJ_35_4</t>
  </si>
  <si>
    <t>Find the exact coordinates of the stationary point of the curve with equation $y = 3x^{3}\ln x^{4}$, for $x &gt; 0$. \hfill (6)</t>
  </si>
  <si>
    <t>驻点, 求导, 对数函数</t>
  </si>
  <si>
    <t>25_MJ_35_5</t>
  </si>
  <si>
    <t>The diagram shows the locus of points representing the complex numbers $z$ satisfying $|z + 5 - 4i| = 3$.**(a)** For the points on this locus, determine the maximum and minimum possible values of $|z|$. \hfill (3)**(b)** For the points on this locus, determine the minimum possible value of $\arg z$. \hfill (3)</t>
  </si>
  <si>
    <t>复数模的几何意义, 阿甘图, 辐角</t>
  </si>
  <si>
    <t>25_MJ_35_6</t>
  </si>
  <si>
    <t>The parametric equations of a curve are$$x = \frac{2}{\cos 3t} \qquad \text{and} \qquad y = \tan 3t,$$for $0 \leq t \leq 2\pi$.**(a)** Show that $\dfrac{dy}{dx}$ can be written as $A\csc 3t$, where $A$ is a constant to be found. \hfill (5)**(b)** Find an equation of the normal to the curve at the point where $t = \dfrac{1}{12}\pi$. Give your answer in the form $y = mx + c$, where the constants $m$ and $c$ are exact. \hfill (4)</t>
  </si>
  <si>
    <t>参数方程求导, 法线, 三角函数</t>
  </si>
  <si>
    <t>25_MJ_35_7</t>
  </si>
  <si>
    <t>The equation of a curve is $y = \tan^{-1}(4x)$.**(a)** Find the exact values of $x$ when the gradient of the curve is $\dfrac{1}{4}$. \hfill (4)**(b)** Find the exact value of $\displaystyle\int_{0}^{0.25} y\,dx$. \hfill (5)</t>
  </si>
  <si>
    <t>Integration</t>
  </si>
  <si>
    <t>arctan 求导, 定积分</t>
  </si>
  <si>
    <t>25_MJ_35_8</t>
  </si>
  <si>
    <t>**(a)** By sketching a suitable pair of graphs, show that the equation $\sec 2x = -2x - \dfrac{1}{2}$ has exactly one root in the interval $0 \leq x \leq \dfrac{1}{2}\pi$. \hfill (2)**(b)** Show by calculation that this root lies between $0.8$ and $1.2$. \hfill (2)**(c)** Show that, if a sequence of real values given by the iterative formula$$x_{n+1} = \frac{1}{2}\cos^{-1}\!\left(\frac{-2}{4x_{n} + 1}\right)$$converges, then it converges to the root of the equation in part (a). \hfill (2)**(d)** Use this iterative formula to calculate this root correct to 3 decimal places. Give the result of each iteration to 5 decimal places. \hfill (3)</t>
  </si>
  <si>
    <t>Numerical solution of equations</t>
  </si>
  <si>
    <t>图像法求根, 区间定位, 迭代法</t>
  </si>
  <si>
    <t>25_MJ_35_9</t>
  </si>
  <si>
    <t>**(a)** Express $\dfrac{12x^{2} + 55x - 2}{(3x-2)(x+6)}$ in partial fractions. \hfill (4)**(b)** Hence obtain the expansion of $\dfrac{12x^{2} + 55x - 2}{(3x-2)(x+6)}$ in ascending powers of $x$, up to and including the term in $x^{2}$. \hfill (4)</t>
  </si>
  <si>
    <t>Algebra (partial fractions and binomial expansions)</t>
  </si>
  <si>
    <t>部分分式, 二项式展开</t>
  </si>
  <si>
    <t>25_MJ_35_10</t>
  </si>
  <si>
    <t>With respect to the origin O, the points A, B and C have position vectors given by$$\overrightarrow{OA} = 2\mathbf{i} - \mathbf{j} - 6\mathbf{k}, \qquad \overrightarrow{OB} = b\mathbf{i} - 2\mathbf{j} + 3\mathbf{k} \qquad \text{and} \qquad \overrightarrow{OC} = -4\mathbf{i} + 5\mathbf{j} - 2\mathbf{k}.$$**(a)** It is given that $\left|\overrightarrow{AB}\right| = \left|\overrightarrow{BC}\right|$. Find the value of $b$. \hfill (4)**(b)** A, B, C and D are the vertices of a rhombus. Find the position vector of D. \hfill (5)**(c)** Calculate angle ABC. \hfill (2)</t>
  </si>
  <si>
    <t>Vectors</t>
  </si>
  <si>
    <t>向量模, 菱形, 向量夹角</t>
  </si>
  <si>
    <t>25_MJ_35_11</t>
  </si>
  <si>
    <t>The variables $x$ and $y$ satisfy the differential equation$$(x^{2} + 3)\frac{dy}{dx} = e^{3y}(x - 2).$$It is given that $y = 0$ when $x = 0$. Solve the differential equation, and find the value of $y$ when $x = 2$. \hfill (8)</t>
  </si>
  <si>
    <t>Differential equations</t>
  </si>
  <si>
    <t>可分离变量微分方程, 初值问题</t>
  </si>
  <si>
    <t>Algebra (factor theorem and remainder theorem)</t>
  </si>
  <si>
    <t>Algebra (modulus functions)</t>
  </si>
  <si>
    <t>CIE P3 批量录入模板使用说明</t>
  </si>
  <si>
    <t>1. 本表用于批量录入 CIE 9709 Paper 3 真题。</t>
  </si>
  <si>
    <t>2. 列说明：</t>
  </si>
  <si>
    <t xml:space="preserve">   考试局/科目：固定填 CIE/P3（下拉已锁定）</t>
  </si>
  <si>
    <t xml:space="preserve">   来源：CIE 真题来源，格式 YY_SERIES_VARIANT[_Q]，如 21_MJ_31 / 21_MJ_31_2</t>
  </si>
  <si>
    <t xml:space="preserve">   题干：直接填 LaTeX（保持英文原题，不翻译不改写）；截图题单独发图</t>
  </si>
  <si>
    <t xml:space="preserve">   配图：独立配图文件名或留空（题干截图不填）</t>
  </si>
  <si>
    <t xml:space="preserve">   章节：从下拉选（CIE P3 共 10 章，见 Chapters 表）</t>
  </si>
  <si>
    <t xml:space="preserve">   考点：逗号分隔的关键词，如 部分分式,反正切积分</t>
  </si>
  <si>
    <t xml:space="preserve">   难度：1-5（3中/4难/5最难）</t>
  </si>
  <si>
    <t xml:space="preserve">   分值：整数总分</t>
  </si>
  <si>
    <t xml:space="preserve">   解析：可中英结合的解法（支持 LaTeX、![图](...) 内嵌图）</t>
  </si>
  <si>
    <t>3. 录入后把本文件发给我，或用网页「批量录入」上传 xlsx 自动导入。</t>
  </si>
  <si>
    <t>4. 小问小分写在题干正文内，用 \hfill (N)（不包进 $...$ 数学模式）。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</si>
</sst>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pane ySplit="1" topLeftCell="A2" activePane="bottomLeft" state="frozen"/>
      <selection/>
      <selection pane="bottomLeft" activeCell="C6" sqref="C6"/>
    </sheetView>
  </sheetViews>
  <sheetFormatPr defaultColWidth="9" defaultRowHeight="13.5"/>
  <cols>
    <col min="1" max="1" width="14" customWidth="1"/>
    <col min="2" max="2" width="16" customWidth="1"/>
    <col min="3" max="3" width="52" customWidth="1"/>
    <col min="4" max="4" width="70.625" customWidth="1"/>
    <col min="5" max="5" width="44" customWidth="1"/>
    <col min="6" max="6" width="24" customWidth="1"/>
    <col min="7" max="8" width="8" customWidth="1"/>
    <col min="9" max="9" width="5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3</v>
      </c>
      <c r="H2">
        <v>4</v>
      </c>
      <c r="I2" t="s">
        <v>12</v>
      </c>
    </row>
    <row r="3" spans="1:9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18</v>
      </c>
      <c r="G3">
        <v>3</v>
      </c>
      <c r="H3">
        <v>5</v>
      </c>
      <c r="I3" t="s">
        <v>12</v>
      </c>
    </row>
    <row r="4" spans="1:9">
      <c r="A4" t="s">
        <v>9</v>
      </c>
      <c r="B4" t="s">
        <v>19</v>
      </c>
      <c r="C4" t="s">
        <v>20</v>
      </c>
      <c r="D4" t="s">
        <v>12</v>
      </c>
      <c r="E4" t="s">
        <v>21</v>
      </c>
      <c r="F4" t="s">
        <v>22</v>
      </c>
      <c r="G4">
        <v>4</v>
      </c>
      <c r="H4">
        <v>6</v>
      </c>
      <c r="I4" t="s">
        <v>12</v>
      </c>
    </row>
    <row r="5" spans="1:9">
      <c r="A5" t="s">
        <v>9</v>
      </c>
      <c r="B5" t="s">
        <v>23</v>
      </c>
      <c r="C5" t="s">
        <v>24</v>
      </c>
      <c r="D5" t="s">
        <v>12</v>
      </c>
      <c r="E5" t="s">
        <v>13</v>
      </c>
      <c r="F5" t="s">
        <v>25</v>
      </c>
      <c r="G5">
        <v>4</v>
      </c>
      <c r="H5">
        <v>6</v>
      </c>
      <c r="I5" t="s">
        <v>12</v>
      </c>
    </row>
    <row r="6" ht="121" customHeight="1" spans="1:9">
      <c r="A6" t="s">
        <v>9</v>
      </c>
      <c r="B6" t="s">
        <v>26</v>
      </c>
      <c r="C6" t="s">
        <v>27</v>
      </c>
      <c r="D6" t="str">
        <f>_xlfn.DISPIMG("ID_28817D765BCD4AB7925F07D6B7406B14",1)</f>
        <v>=DISPIMG("ID_28817D765BCD4AB7925F07D6B7406B14",1)</v>
      </c>
      <c r="E6" t="s">
        <v>21</v>
      </c>
      <c r="F6" t="s">
        <v>28</v>
      </c>
      <c r="G6">
        <v>4</v>
      </c>
      <c r="H6">
        <v>6</v>
      </c>
      <c r="I6" t="s">
        <v>12</v>
      </c>
    </row>
    <row r="7" spans="1:9">
      <c r="A7" t="s">
        <v>9</v>
      </c>
      <c r="B7" t="s">
        <v>29</v>
      </c>
      <c r="C7" t="s">
        <v>30</v>
      </c>
      <c r="D7" t="s">
        <v>12</v>
      </c>
      <c r="E7" t="s">
        <v>17</v>
      </c>
      <c r="F7" t="s">
        <v>31</v>
      </c>
      <c r="G7">
        <v>4</v>
      </c>
      <c r="H7">
        <v>9</v>
      </c>
      <c r="I7" t="s">
        <v>12</v>
      </c>
    </row>
    <row r="8" spans="1:9">
      <c r="A8" t="s">
        <v>9</v>
      </c>
      <c r="B8" t="s">
        <v>32</v>
      </c>
      <c r="C8" t="s">
        <v>33</v>
      </c>
      <c r="D8" t="s">
        <v>12</v>
      </c>
      <c r="E8" t="s">
        <v>34</v>
      </c>
      <c r="F8" t="s">
        <v>35</v>
      </c>
      <c r="G8">
        <v>4</v>
      </c>
      <c r="H8">
        <v>9</v>
      </c>
      <c r="I8" t="s">
        <v>12</v>
      </c>
    </row>
    <row r="9" spans="1:9">
      <c r="A9" t="s">
        <v>9</v>
      </c>
      <c r="B9" t="s">
        <v>36</v>
      </c>
      <c r="C9" t="s">
        <v>37</v>
      </c>
      <c r="D9" t="s">
        <v>12</v>
      </c>
      <c r="E9" t="s">
        <v>38</v>
      </c>
      <c r="F9" t="s">
        <v>39</v>
      </c>
      <c r="G9">
        <v>4</v>
      </c>
      <c r="H9">
        <v>9</v>
      </c>
      <c r="I9" t="s">
        <v>12</v>
      </c>
    </row>
    <row r="10" spans="1:9">
      <c r="A10" t="s">
        <v>9</v>
      </c>
      <c r="B10" t="s">
        <v>40</v>
      </c>
      <c r="C10" t="s">
        <v>41</v>
      </c>
      <c r="D10" t="s">
        <v>12</v>
      </c>
      <c r="E10" t="s">
        <v>42</v>
      </c>
      <c r="F10" t="s">
        <v>43</v>
      </c>
      <c r="G10">
        <v>3</v>
      </c>
      <c r="H10">
        <v>8</v>
      </c>
      <c r="I10" t="s">
        <v>12</v>
      </c>
    </row>
    <row r="11" spans="1:9">
      <c r="A11" t="s">
        <v>9</v>
      </c>
      <c r="B11" t="s">
        <v>44</v>
      </c>
      <c r="C11" t="s">
        <v>45</v>
      </c>
      <c r="D11" t="s">
        <v>12</v>
      </c>
      <c r="E11" t="s">
        <v>46</v>
      </c>
      <c r="F11" t="s">
        <v>47</v>
      </c>
      <c r="G11">
        <v>4</v>
      </c>
      <c r="H11">
        <v>11</v>
      </c>
      <c r="I11" t="s">
        <v>12</v>
      </c>
    </row>
    <row r="12" spans="1:9">
      <c r="A12" t="s">
        <v>9</v>
      </c>
      <c r="B12" t="s">
        <v>48</v>
      </c>
      <c r="C12" t="s">
        <v>49</v>
      </c>
      <c r="D12" t="s">
        <v>12</v>
      </c>
      <c r="E12" t="s">
        <v>50</v>
      </c>
      <c r="F12" t="s">
        <v>51</v>
      </c>
      <c r="G12">
        <v>4</v>
      </c>
      <c r="H12">
        <v>8</v>
      </c>
      <c r="I12" t="s">
        <v>12</v>
      </c>
    </row>
  </sheetData>
  <dataValidations count="3">
    <dataValidation type="list" allowBlank="1" sqref="A2:A300">
      <formula1>"CIE/P3"</formula1>
    </dataValidation>
    <dataValidation type="list" allowBlank="1" errorTitle="章节不在列表中" error="请从下拉选择，不要手打" promptTitle="选择章节" prompt="从下拉选择本题所属 CIE P3 章节（共 10 章）" sqref="E2:E300">
      <formula1>Chapters!$A$1:$A$10</formula1>
    </dataValidation>
    <dataValidation type="list" allowBlank="1" promptTitle="难度" prompt="1-5：3=中，4=难，5=最难" sqref="G2:G300">
      <formula1>"1,2,3,4,5"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1" sqref="A1"/>
    </sheetView>
  </sheetViews>
  <sheetFormatPr defaultColWidth="9" defaultRowHeight="13.5"/>
  <sheetData>
    <row r="1" spans="1:1">
      <c r="A1" t="s">
        <v>52</v>
      </c>
    </row>
    <row r="2" spans="1:1">
      <c r="A2" t="s">
        <v>53</v>
      </c>
    </row>
    <row r="3" spans="1:1">
      <c r="A3" t="s">
        <v>42</v>
      </c>
    </row>
    <row r="4" spans="1:1">
      <c r="A4" t="s">
        <v>13</v>
      </c>
    </row>
    <row r="5" spans="1:1">
      <c r="A5" t="s">
        <v>17</v>
      </c>
    </row>
    <row r="6" spans="1:1">
      <c r="A6" t="s">
        <v>34</v>
      </c>
    </row>
    <row r="7" spans="1:1">
      <c r="A7" t="s">
        <v>50</v>
      </c>
    </row>
    <row r="8" spans="1:1">
      <c r="A8" t="s">
        <v>21</v>
      </c>
    </row>
    <row r="9" spans="1:1">
      <c r="A9" t="s">
        <v>46</v>
      </c>
    </row>
    <row r="10" spans="1:1">
      <c r="A10" t="s">
        <v>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"/>
    </sheetView>
  </sheetViews>
  <sheetFormatPr defaultColWidth="9" defaultRowHeight="13.5"/>
  <cols>
    <col min="1" max="1" width="80" customWidth="1"/>
  </cols>
  <sheetData>
    <row r="1" spans="1:1">
      <c r="A1" t="s">
        <v>54</v>
      </c>
    </row>
    <row r="3" spans="1:1">
      <c r="A3" t="s">
        <v>55</v>
      </c>
    </row>
    <row r="4" spans="1:1">
      <c r="A4" t="s">
        <v>56</v>
      </c>
    </row>
    <row r="5" spans="1:1">
      <c r="A5" t="s">
        <v>57</v>
      </c>
    </row>
    <row r="6" spans="1:1">
      <c r="A6" t="s">
        <v>58</v>
      </c>
    </row>
    <row r="7" spans="1:1">
      <c r="A7" t="s">
        <v>59</v>
      </c>
    </row>
    <row r="8" spans="1:1">
      <c r="A8" t="s">
        <v>60</v>
      </c>
    </row>
    <row r="9" spans="1:1">
      <c r="A9" t="s">
        <v>61</v>
      </c>
    </row>
    <row r="10" spans="1:1">
      <c r="A10" t="s">
        <v>62</v>
      </c>
    </row>
    <row r="11" spans="1:1">
      <c r="A11" t="s">
        <v>63</v>
      </c>
    </row>
    <row r="12" spans="1:1">
      <c r="A12" t="s">
        <v>64</v>
      </c>
    </row>
    <row r="13" spans="1:1">
      <c r="A13" t="s">
        <v>65</v>
      </c>
    </row>
    <row r="14" spans="1:1">
      <c r="A14" t="s">
        <v>66</v>
      </c>
    </row>
    <row r="15" spans="1:1">
      <c r="A15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CIE P3 录入</vt:lpstr>
      <vt:lpstr>Chapters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江申</cp:lastModifiedBy>
  <dcterms:created xsi:type="dcterms:W3CDTF">2026-07-15T12:37:00Z</dcterms:created>
  <dcterms:modified xsi:type="dcterms:W3CDTF">2026-07-16T04:14:54Z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77DB721A614C4479B35E44109D52B6DF_12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